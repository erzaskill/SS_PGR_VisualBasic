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k\Desktop\Erik\Vzdělání\Do školy\PRG\Visual Basic\"/>
    </mc:Choice>
  </mc:AlternateContent>
  <xr:revisionPtr revIDLastSave="0" documentId="13_ncr:1_{E78089B4-6782-444A-8718-ECC5AD571DB5}" xr6:coauthVersionLast="45" xr6:coauthVersionMax="45" xr10:uidLastSave="{00000000-0000-0000-0000-000000000000}"/>
  <bookViews>
    <workbookView xWindow="-120" yWindow="-120" windowWidth="29040" windowHeight="15840" firstSheet="3" activeTab="7" xr2:uid="{00000000-000D-0000-FFFF-FFFF00000000}"/>
  </bookViews>
  <sheets>
    <sheet name="List1" sheetId="1" r:id="rId1"/>
    <sheet name="List2" sheetId="2" r:id="rId2"/>
    <sheet name="Data" sheetId="3" r:id="rId3"/>
    <sheet name="zbozi" sheetId="4" r:id="rId4"/>
    <sheet name="dalsi_list" sheetId="5" r:id="rId5"/>
    <sheet name="funkce" sheetId="6" r:id="rId6"/>
    <sheet name="List3" sheetId="7" r:id="rId7"/>
    <sheet name="oblasti" sheetId="8" r:id="rId8"/>
    <sheet name="oblasti2" sheetId="9" r:id="rId9"/>
  </sheets>
  <functionGroups builtInGroupCount="19"/>
  <definedNames>
    <definedName name="A9999999999">List1!$A$999999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31" i="8" l="1"/>
  <c r="K24" i="7"/>
  <c r="E17" i="7"/>
  <c r="D10" i="6"/>
  <c r="H8" i="7"/>
  <c r="F12" i="7"/>
  <c r="I23" i="7"/>
  <c r="E28" i="7"/>
  <c r="D5" i="6"/>
  <c r="H9" i="7"/>
  <c r="D12" i="6"/>
  <c r="G23" i="7"/>
  <c r="H10" i="7"/>
  <c r="J12" i="7"/>
  <c r="H13" i="7"/>
  <c r="I22" i="7"/>
  <c r="G21" i="7"/>
  <c r="D2" i="6"/>
  <c r="I21" i="7"/>
  <c r="G12" i="7"/>
  <c r="F15" i="6"/>
  <c r="H19" i="7"/>
  <c r="D15" i="6"/>
  <c r="E23" i="7"/>
  <c r="E21" i="7"/>
  <c r="D13" i="6"/>
  <c r="K18" i="7"/>
  <c r="K19" i="7"/>
  <c r="I24" i="7"/>
  <c r="E9" i="7"/>
  <c r="G24" i="7"/>
  <c r="D4" i="6"/>
  <c r="E18" i="7"/>
  <c r="E15" i="6"/>
  <c r="G22" i="7"/>
  <c r="E22" i="7"/>
  <c r="E24" i="7"/>
  <c r="F11" i="7"/>
  <c r="D1" i="6"/>
  <c r="G18" i="7"/>
  <c r="D3" i="6"/>
  <c r="E19" i="7"/>
  <c r="E26" i="7"/>
  <c r="K16" i="7"/>
  <c r="H1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daniel.lechovic</author>
  </authors>
  <commentList>
    <comment ref="J12" authorId="0" shapeId="0" xr:uid="{00000000-0006-0000-0700-000001000000}">
      <text>
        <r>
          <rPr>
            <b/>
            <sz val="9"/>
            <color indexed="81"/>
            <rFont val="Tahoma"/>
            <family val="2"/>
            <charset val="238"/>
          </rPr>
          <t>kokršpaněl</t>
        </r>
      </text>
    </comment>
    <comment ref="I14" authorId="0" shapeId="0" xr:uid="{00000000-0006-0000-0700-000002000000}">
      <text>
        <r>
          <rPr>
            <b/>
            <sz val="9"/>
            <color indexed="81"/>
            <rFont val="Tahoma"/>
            <family val="2"/>
            <charset val="238"/>
          </rPr>
          <t>lojda</t>
        </r>
      </text>
    </comment>
    <comment ref="F28" authorId="0" shapeId="0" xr:uid="{00000000-0006-0000-0700-000003000000}">
      <text>
        <r>
          <rPr>
            <b/>
            <sz val="9"/>
            <color indexed="81"/>
            <rFont val="Tahoma"/>
            <family val="2"/>
            <charset val="238"/>
          </rPr>
          <t>Minimum</t>
        </r>
      </text>
    </comment>
    <comment ref="A32" authorId="0" shapeId="0" xr:uid="{00000000-0006-0000-0700-000004000000}">
      <text>
        <r>
          <rPr>
            <b/>
            <sz val="9"/>
            <color indexed="81"/>
            <rFont val="Tahoma"/>
            <family val="2"/>
            <charset val="238"/>
          </rPr>
          <t>Minimum</t>
        </r>
      </text>
    </comment>
    <comment ref="G33" authorId="0" shapeId="0" xr:uid="{00000000-0006-0000-0700-000005000000}">
      <text>
        <r>
          <rPr>
            <b/>
            <sz val="9"/>
            <color indexed="81"/>
            <rFont val="Tahoma"/>
            <family val="2"/>
            <charset val="238"/>
          </rPr>
          <t>Maximum</t>
        </r>
      </text>
    </comment>
    <comment ref="O39" authorId="0" shapeId="0" xr:uid="{00000000-0006-0000-0700-000006000000}">
      <text>
        <r>
          <rPr>
            <sz val="9"/>
            <color indexed="81"/>
            <rFont val="Tahoma"/>
            <family val="2"/>
            <charset val="238"/>
          </rPr>
          <t>Maximum</t>
        </r>
      </text>
    </comment>
    <comment ref="L40" authorId="0" shapeId="0" xr:uid="{00000000-0006-0000-0700-000007000000}">
      <text>
        <r>
          <rPr>
            <sz val="9"/>
            <color indexed="81"/>
            <rFont val="Tahoma"/>
            <family val="2"/>
            <charset val="238"/>
          </rPr>
          <t>Maximum</t>
        </r>
      </text>
    </comment>
    <comment ref="M41" authorId="0" shapeId="0" xr:uid="{00000000-0006-0000-0700-000008000000}">
      <text>
        <r>
          <rPr>
            <sz val="9"/>
            <color indexed="81"/>
            <rFont val="Tahoma"/>
            <family val="2"/>
            <charset val="238"/>
          </rPr>
          <t>Maximum</t>
        </r>
      </text>
    </comment>
    <comment ref="L42" authorId="0" shapeId="0" xr:uid="{00000000-0006-0000-0700-000009000000}">
      <text>
        <r>
          <rPr>
            <sz val="9"/>
            <color indexed="81"/>
            <rFont val="Tahoma"/>
            <family val="2"/>
            <charset val="238"/>
          </rPr>
          <t>Maximum</t>
        </r>
      </text>
    </comment>
    <comment ref="M43" authorId="0" shapeId="0" xr:uid="{00000000-0006-0000-0700-00000A000000}">
      <text>
        <r>
          <rPr>
            <sz val="9"/>
            <color indexed="81"/>
            <rFont val="Tahoma"/>
            <family val="2"/>
            <charset val="238"/>
          </rPr>
          <t>Maximum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daniel.lechovic</author>
  </authors>
  <commentList>
    <comment ref="B2" authorId="0" shapeId="0" xr:uid="{00000000-0006-0000-0800-000001000000}">
      <text>
        <r>
          <rPr>
            <b/>
            <sz val="9"/>
            <color indexed="81"/>
            <rFont val="Tahoma"/>
            <family val="2"/>
            <charset val="238"/>
          </rPr>
          <t>Zkopírováno</t>
        </r>
      </text>
    </comment>
  </commentList>
</comments>
</file>

<file path=xl/sharedStrings.xml><?xml version="1.0" encoding="utf-8"?>
<sst xmlns="http://schemas.openxmlformats.org/spreadsheetml/2006/main" count="106" uniqueCount="52">
  <si>
    <t>Název</t>
  </si>
  <si>
    <t>Cena</t>
  </si>
  <si>
    <t>Koblihy</t>
  </si>
  <si>
    <t>Donuty</t>
  </si>
  <si>
    <t>Indiánky</t>
  </si>
  <si>
    <t>Špičky</t>
  </si>
  <si>
    <t>Marokánky</t>
  </si>
  <si>
    <t>asd</t>
  </si>
  <si>
    <t>daniel</t>
  </si>
  <si>
    <t>daniel lechovič</t>
  </si>
  <si>
    <t>lechovič</t>
  </si>
  <si>
    <t>12ab3c65d</t>
  </si>
  <si>
    <t>dfs</t>
  </si>
  <si>
    <t>sd5</t>
  </si>
  <si>
    <t>sdf153</t>
  </si>
  <si>
    <t>sdf35</t>
  </si>
  <si>
    <t>sdfsd</t>
  </si>
  <si>
    <t>sdf</t>
  </si>
  <si>
    <t xml:space="preserve"> sdf 351</t>
  </si>
  <si>
    <t>df</t>
  </si>
  <si>
    <t>ěščřžýáíéŘŤŠŇČ</t>
  </si>
  <si>
    <t>ladislav.konipas@cez.cz</t>
  </si>
  <si>
    <t>daniel.lechovic@qq</t>
  </si>
  <si>
    <t>lojda.dylina@komediant.zmoravy.cz</t>
  </si>
  <si>
    <t>KoPiDlNoR</t>
  </si>
  <si>
    <t>čřžýáíp</t>
  </si>
  <si>
    <t>Daniel</t>
  </si>
  <si>
    <t>Lechovič</t>
  </si>
  <si>
    <t>hans.huhner@deutschebahn@berliner@hauptstadt.de</t>
  </si>
  <si>
    <t xml:space="preserve">Lechovič    </t>
  </si>
  <si>
    <t xml:space="preserve">    da ni el</t>
  </si>
  <si>
    <t>blbec</t>
  </si>
  <si>
    <t>Rejnok</t>
  </si>
  <si>
    <t>ysdf</t>
  </si>
  <si>
    <t>kokos</t>
  </si>
  <si>
    <t>sdf@df</t>
  </si>
  <si>
    <t>aghoj@</t>
  </si>
  <si>
    <t>9@</t>
  </si>
  <si>
    <t>kokršpaněl</t>
  </si>
  <si>
    <t>?</t>
  </si>
  <si>
    <t>sd</t>
  </si>
  <si>
    <t>xcvx</t>
  </si>
  <si>
    <t>Jičín</t>
  </si>
  <si>
    <t>Praha</t>
  </si>
  <si>
    <t>Vary</t>
  </si>
  <si>
    <t>Aš</t>
  </si>
  <si>
    <t>Fryčovice</t>
  </si>
  <si>
    <t>Pondělí</t>
  </si>
  <si>
    <t>Úterý</t>
  </si>
  <si>
    <t>Středa</t>
  </si>
  <si>
    <t>Čtvrtek</t>
  </si>
  <si>
    <t>Pátek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</si>
</sst>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i/>
      <sz val="16"/>
      <color indexed="16"/>
      <name val="Arial CE"/>
      <charset val="238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11"/>
      <color indexed="10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9"/>
      <color indexed="81"/>
      <name val="Tahoma"/>
      <family val="2"/>
      <charset val="238"/>
    </font>
    <font>
      <sz val="11"/>
      <color indexed="10"/>
      <name val="Calibri"/>
      <family val="2"/>
      <charset val="238"/>
      <scheme val="minor"/>
    </font>
    <font>
      <sz val="11"/>
      <color indexed="11"/>
      <name val="Calibri"/>
      <family val="2"/>
      <charset val="238"/>
      <scheme val="minor"/>
    </font>
    <font>
      <sz val="9"/>
      <color indexed="81"/>
      <name val="Tahoma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1"/>
    <xf numFmtId="0" fontId="8" fillId="0" borderId="0" xfId="0" applyFont="1"/>
    <xf numFmtId="0" fontId="9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4</xdr:row>
          <xdr:rowOff>161925</xdr:rowOff>
        </xdr:from>
        <xdr:to>
          <xdr:col>9</xdr:col>
          <xdr:colOff>466725</xdr:colOff>
          <xdr:row>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Kladné?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7</xdr:row>
          <xdr:rowOff>47625</xdr:rowOff>
        </xdr:from>
        <xdr:to>
          <xdr:col>11</xdr:col>
          <xdr:colOff>476250</xdr:colOff>
          <xdr:row>10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Čudlík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12</xdr:row>
          <xdr:rowOff>38100</xdr:rowOff>
        </xdr:from>
        <xdr:to>
          <xdr:col>11</xdr:col>
          <xdr:colOff>552450</xdr:colOff>
          <xdr:row>15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Čudlík dva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9525</xdr:rowOff>
        </xdr:from>
        <xdr:to>
          <xdr:col>11</xdr:col>
          <xdr:colOff>0</xdr:colOff>
          <xdr:row>9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Čudlík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součet vkladu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11</xdr:row>
          <xdr:rowOff>9525</xdr:rowOff>
        </xdr:from>
        <xdr:to>
          <xdr:col>11</xdr:col>
          <xdr:colOff>0</xdr:colOff>
          <xdr:row>14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Jména a věk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15</xdr:row>
          <xdr:rowOff>9525</xdr:rowOff>
        </xdr:from>
        <xdr:to>
          <xdr:col>11</xdr:col>
          <xdr:colOff>9525</xdr:colOff>
          <xdr:row>18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Vkládání podle volných řádků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3</xdr:row>
          <xdr:rowOff>171450</xdr:rowOff>
        </xdr:from>
        <xdr:to>
          <xdr:col>10</xdr:col>
          <xdr:colOff>0</xdr:colOff>
          <xdr:row>6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Zadávání zboží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7</xdr:row>
          <xdr:rowOff>180975</xdr:rowOff>
        </xdr:from>
        <xdr:to>
          <xdr:col>10</xdr:col>
          <xdr:colOff>19050</xdr:colOff>
          <xdr:row>10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Formát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47625</xdr:rowOff>
        </xdr:from>
        <xdr:to>
          <xdr:col>7</xdr:col>
          <xdr:colOff>9525</xdr:colOff>
          <xdr:row>4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Zčervenání záporných hodnot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6</xdr:col>
          <xdr:colOff>581025</xdr:colOff>
          <xdr:row>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Zkopíruje nečíselné hodnoty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6</xdr:row>
          <xdr:rowOff>9525</xdr:rowOff>
        </xdr:from>
        <xdr:to>
          <xdr:col>10</xdr:col>
          <xdr:colOff>19050</xdr:colOff>
          <xdr:row>8</xdr:row>
          <xdr:rowOff>180975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Přehodí nečíselné hodnoty jinam - pole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9525</xdr:rowOff>
        </xdr:from>
        <xdr:to>
          <xdr:col>10</xdr:col>
          <xdr:colOff>123825</xdr:colOff>
          <xdr:row>4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Tučná čísla v 1. řádku přebarví a zaokrouhlí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476250</xdr:colOff>
          <xdr:row>6</xdr:row>
          <xdr:rowOff>114300</xdr:rowOff>
        </xdr:from>
        <xdr:to>
          <xdr:col>12</xdr:col>
          <xdr:colOff>457200</xdr:colOff>
          <xdr:row>8</xdr:row>
          <xdr:rowOff>95250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Druhá mocnina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ladislav.konipas@cez.cz" TargetMode="External"/><Relationship Id="rId2" Type="http://schemas.openxmlformats.org/officeDocument/2006/relationships/hyperlink" Target="mailto:lojda.dylina@komediant.zmoravy.cz" TargetMode="External"/><Relationship Id="rId1" Type="http://schemas.openxmlformats.org/officeDocument/2006/relationships/hyperlink" Target="mailto:daniel.lechovic@qq" TargetMode="External"/><Relationship Id="rId4" Type="http://schemas.openxmlformats.org/officeDocument/2006/relationships/hyperlink" Target="mailto:hans.huhner@deutschebahn@berliner@hauptstadt.de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aghoj@" TargetMode="External"/><Relationship Id="rId2" Type="http://schemas.openxmlformats.org/officeDocument/2006/relationships/hyperlink" Target="mailto:sdf@df" TargetMode="External"/><Relationship Id="rId1" Type="http://schemas.openxmlformats.org/officeDocument/2006/relationships/hyperlink" Target="mailto:sdf@df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6.vml"/><Relationship Id="rId4" Type="http://schemas.openxmlformats.org/officeDocument/2006/relationships/hyperlink" Target="mailto:9@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"/>
  <sheetViews>
    <sheetView workbookViewId="0"/>
  </sheetViews>
  <sheetFormatPr defaultRowHeight="15" x14ac:dyDescent="0.25"/>
  <sheetData/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fpositive2">
                <anchor moveWithCells="1" sizeWithCells="1">
                  <from>
                    <xdr:col>8</xdr:col>
                    <xdr:colOff>85725</xdr:colOff>
                    <xdr:row>4</xdr:row>
                    <xdr:rowOff>161925</xdr:rowOff>
                  </from>
                  <to>
                    <xdr:col>9</xdr:col>
                    <xdr:colOff>466725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2"/>
  <dimension ref="B1:B2"/>
  <sheetViews>
    <sheetView workbookViewId="0">
      <selection activeCell="ADI20" sqref="ADI20"/>
    </sheetView>
  </sheetViews>
  <sheetFormatPr defaultRowHeight="15" x14ac:dyDescent="0.25"/>
  <sheetData>
    <row r="1" spans="2:2" x14ac:dyDescent="0.25">
      <c r="B1">
        <v>5</v>
      </c>
    </row>
    <row r="2" spans="2:2" x14ac:dyDescent="0.25">
      <c r="B2">
        <v>0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range0">
                <anchor moveWithCells="1">
                  <from>
                    <xdr:col>10</xdr:col>
                    <xdr:colOff>95250</xdr:colOff>
                    <xdr:row>7</xdr:row>
                    <xdr:rowOff>47625</xdr:rowOff>
                  </from>
                  <to>
                    <xdr:col>11</xdr:col>
                    <xdr:colOff>476250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vkldndat">
                <anchor moveWithCells="1" sizeWithCells="1">
                  <from>
                    <xdr:col>10</xdr:col>
                    <xdr:colOff>57150</xdr:colOff>
                    <xdr:row>12</xdr:row>
                    <xdr:rowOff>38100</xdr:rowOff>
                  </from>
                  <to>
                    <xdr:col>11</xdr:col>
                    <xdr:colOff>552450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3"/>
  <dimension ref="A1:C4"/>
  <sheetViews>
    <sheetView workbookViewId="0">
      <selection activeCell="O19" sqref="O19"/>
    </sheetView>
  </sheetViews>
  <sheetFormatPr defaultRowHeight="15" x14ac:dyDescent="0.25"/>
  <sheetData>
    <row r="1" spans="1:3" x14ac:dyDescent="0.25">
      <c r="A1">
        <v>25</v>
      </c>
      <c r="B1">
        <v>-5</v>
      </c>
      <c r="C1">
        <v>0</v>
      </c>
    </row>
    <row r="2" spans="1:3" x14ac:dyDescent="0.25">
      <c r="A2">
        <v>36</v>
      </c>
    </row>
    <row r="4" spans="1:3" x14ac:dyDescent="0.25">
      <c r="A4">
        <v>61</v>
      </c>
      <c r="B4">
        <v>-5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oucetvkladu">
                <anchor moveWithCells="1" sizeWithCells="1">
                  <from>
                    <xdr:col>9</xdr:col>
                    <xdr:colOff>0</xdr:colOff>
                    <xdr:row>7</xdr:row>
                    <xdr:rowOff>9525</xdr:rowOff>
                  </from>
                  <to>
                    <xdr:col>11</xdr:col>
                    <xdr:colOff>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vek">
                <anchor moveWithCells="1" sizeWithCells="1">
                  <from>
                    <xdr:col>9</xdr:col>
                    <xdr:colOff>9525</xdr:colOff>
                    <xdr:row>11</xdr:row>
                    <xdr:rowOff>9525</xdr:rowOff>
                  </from>
                  <to>
                    <xdr:col>11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vkladaniNaKonec">
                <anchor moveWithCells="1" sizeWithCells="1">
                  <from>
                    <xdr:col>8</xdr:col>
                    <xdr:colOff>600075</xdr:colOff>
                    <xdr:row>15</xdr:row>
                    <xdr:rowOff>9525</xdr:rowOff>
                  </from>
                  <to>
                    <xdr:col>11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4"/>
  <dimension ref="A1:D6"/>
  <sheetViews>
    <sheetView workbookViewId="0">
      <selection activeCell="F8" sqref="F8"/>
    </sheetView>
  </sheetViews>
  <sheetFormatPr defaultRowHeight="15" x14ac:dyDescent="0.25"/>
  <cols>
    <col min="1" max="1" width="11" bestFit="1" customWidth="1"/>
  </cols>
  <sheetData>
    <row r="1" spans="1:4" ht="20.25" x14ac:dyDescent="0.3">
      <c r="A1" s="1" t="s">
        <v>0</v>
      </c>
      <c r="B1" t="s">
        <v>1</v>
      </c>
    </row>
    <row r="2" spans="1:4" x14ac:dyDescent="0.25">
      <c r="A2" t="s">
        <v>2</v>
      </c>
      <c r="B2">
        <v>25</v>
      </c>
      <c r="D2">
        <v>5</v>
      </c>
    </row>
    <row r="3" spans="1:4" x14ac:dyDescent="0.25">
      <c r="A3" t="s">
        <v>3</v>
      </c>
      <c r="B3">
        <v>15</v>
      </c>
    </row>
    <row r="4" spans="1:4" x14ac:dyDescent="0.25">
      <c r="A4" t="s">
        <v>4</v>
      </c>
      <c r="B4">
        <v>18</v>
      </c>
    </row>
    <row r="5" spans="1:4" x14ac:dyDescent="0.25">
      <c r="A5" t="s">
        <v>5</v>
      </c>
      <c r="B5">
        <v>21</v>
      </c>
    </row>
    <row r="6" spans="1:4" x14ac:dyDescent="0.25">
      <c r="A6" t="s">
        <v>6</v>
      </c>
      <c r="B6">
        <v>25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zbozi">
                <anchor moveWithCells="1" sizeWithCells="1">
                  <from>
                    <xdr:col>7</xdr:col>
                    <xdr:colOff>590550</xdr:colOff>
                    <xdr:row>3</xdr:row>
                    <xdr:rowOff>171450</xdr:rowOff>
                  </from>
                  <to>
                    <xdr:col>10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PrCellFont">
                <anchor moveWithCells="1" sizeWithCells="1">
                  <from>
                    <xdr:col>7</xdr:col>
                    <xdr:colOff>600075</xdr:colOff>
                    <xdr:row>7</xdr:row>
                    <xdr:rowOff>180975</xdr:rowOff>
                  </from>
                  <to>
                    <xdr:col>10</xdr:col>
                    <xdr:colOff>19050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5"/>
  <dimension ref="A1:G10"/>
  <sheetViews>
    <sheetView workbookViewId="0">
      <selection activeCell="H24" sqref="H24"/>
    </sheetView>
  </sheetViews>
  <sheetFormatPr defaultRowHeight="15" x14ac:dyDescent="0.25"/>
  <cols>
    <col min="1" max="1" width="12" bestFit="1" customWidth="1"/>
  </cols>
  <sheetData>
    <row r="1" spans="1:7" x14ac:dyDescent="0.25">
      <c r="A1" s="3">
        <v>1</v>
      </c>
      <c r="B1">
        <v>1</v>
      </c>
      <c r="C1" s="2"/>
      <c r="E1" s="2"/>
      <c r="F1" s="2"/>
      <c r="G1" s="2"/>
    </row>
    <row r="2" spans="1:7" x14ac:dyDescent="0.25">
      <c r="A2">
        <v>2</v>
      </c>
      <c r="B2">
        <v>4</v>
      </c>
    </row>
    <row r="3" spans="1:7" x14ac:dyDescent="0.25">
      <c r="A3">
        <v>3</v>
      </c>
      <c r="B3">
        <v>9</v>
      </c>
    </row>
    <row r="4" spans="1:7" x14ac:dyDescent="0.25">
      <c r="A4" s="4">
        <v>4</v>
      </c>
      <c r="B4">
        <v>16</v>
      </c>
    </row>
    <row r="5" spans="1:7" x14ac:dyDescent="0.25">
      <c r="A5" s="4">
        <v>5</v>
      </c>
      <c r="B5">
        <v>25</v>
      </c>
    </row>
    <row r="6" spans="1:7" x14ac:dyDescent="0.25">
      <c r="A6" t="s">
        <v>7</v>
      </c>
    </row>
    <row r="7" spans="1:7" x14ac:dyDescent="0.25">
      <c r="A7" s="2" t="s">
        <v>7</v>
      </c>
    </row>
    <row r="8" spans="1:7" x14ac:dyDescent="0.25">
      <c r="A8" s="2" t="s">
        <v>7</v>
      </c>
    </row>
    <row r="9" spans="1:7" x14ac:dyDescent="0.25">
      <c r="A9">
        <v>2</v>
      </c>
      <c r="B9">
        <v>4</v>
      </c>
    </row>
    <row r="10" spans="1:7" x14ac:dyDescent="0.25">
      <c r="A10">
        <v>3</v>
      </c>
      <c r="B10">
        <v>9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zaporRed">
                <anchor moveWithCells="1" sizeWithCells="1">
                  <from>
                    <xdr:col>5</xdr:col>
                    <xdr:colOff>38100</xdr:colOff>
                    <xdr:row>2</xdr:row>
                    <xdr:rowOff>47625</xdr:rowOff>
                  </from>
                  <to>
                    <xdr:col>7</xdr:col>
                    <xdr:colOff>9525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necislo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6</xdr:col>
                    <xdr:colOff>581025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necislo2">
                <anchor moveWithCells="1" sizeWithCells="1">
                  <from>
                    <xdr:col>8</xdr:col>
                    <xdr:colOff>19050</xdr:colOff>
                    <xdr:row>6</xdr:row>
                    <xdr:rowOff>9525</xdr:rowOff>
                  </from>
                  <to>
                    <xdr:col>10</xdr:col>
                    <xdr:colOff>19050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tucnacisla">
                <anchor moveWithCells="1" sizeWithCells="1">
                  <from>
                    <xdr:col>8</xdr:col>
                    <xdr:colOff>19050</xdr:colOff>
                    <xdr:row>2</xdr:row>
                    <xdr:rowOff>9525</xdr:rowOff>
                  </from>
                  <to>
                    <xdr:col>10</xdr:col>
                    <xdr:colOff>123825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mocnina">
                <anchor moveWithCells="1" sizeWithCells="1">
                  <from>
                    <xdr:col>10</xdr:col>
                    <xdr:colOff>476250</xdr:colOff>
                    <xdr:row>6</xdr:row>
                    <xdr:rowOff>114300</xdr:rowOff>
                  </from>
                  <to>
                    <xdr:col>12</xdr:col>
                    <xdr:colOff>457200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6"/>
  <dimension ref="A1:F15"/>
  <sheetViews>
    <sheetView workbookViewId="0">
      <selection activeCell="F15" sqref="F15"/>
    </sheetView>
  </sheetViews>
  <sheetFormatPr defaultRowHeight="15" x14ac:dyDescent="0.25"/>
  <cols>
    <col min="1" max="1" width="14.42578125" bestFit="1" customWidth="1"/>
    <col min="4" max="5" width="11.85546875" bestFit="1" customWidth="1"/>
    <col min="6" max="6" width="10.140625" bestFit="1" customWidth="1"/>
  </cols>
  <sheetData>
    <row r="1" spans="1:6" x14ac:dyDescent="0.25">
      <c r="B1">
        <v>52</v>
      </c>
      <c r="D1">
        <f>soucet1(A1,B1)</f>
        <v>52</v>
      </c>
    </row>
    <row r="2" spans="1:6" x14ac:dyDescent="0.25">
      <c r="A2" t="s">
        <v>13</v>
      </c>
      <c r="B2">
        <v>63</v>
      </c>
      <c r="D2" t="e">
        <f t="shared" ref="D2:D5" si="0">soucet1(A2,B2)</f>
        <v>#VALUE!</v>
      </c>
    </row>
    <row r="3" spans="1:6" x14ac:dyDescent="0.25">
      <c r="A3">
        <v>351</v>
      </c>
      <c r="B3">
        <v>-95</v>
      </c>
      <c r="D3">
        <f t="shared" si="0"/>
        <v>256</v>
      </c>
    </row>
    <row r="4" spans="1:6" x14ac:dyDescent="0.25">
      <c r="A4" t="s">
        <v>14</v>
      </c>
      <c r="B4">
        <v>25.6</v>
      </c>
      <c r="D4" t="e">
        <f t="shared" si="0"/>
        <v>#VALUE!</v>
      </c>
    </row>
    <row r="5" spans="1:6" x14ac:dyDescent="0.25">
      <c r="A5" t="s">
        <v>15</v>
      </c>
      <c r="B5">
        <v>3</v>
      </c>
      <c r="D5" t="e">
        <f t="shared" si="0"/>
        <v>#VALUE!</v>
      </c>
    </row>
    <row r="8" spans="1:6" x14ac:dyDescent="0.25">
      <c r="A8" t="s">
        <v>18</v>
      </c>
    </row>
    <row r="10" spans="1:6" x14ac:dyDescent="0.25">
      <c r="A10" t="s">
        <v>8</v>
      </c>
      <c r="D10" t="str">
        <f>firstlast(A10)</f>
        <v>DL</v>
      </c>
    </row>
    <row r="12" spans="1:6" x14ac:dyDescent="0.25">
      <c r="A12" t="s">
        <v>9</v>
      </c>
      <c r="D12" t="e">
        <f>initials(A12)</f>
        <v>#VALUE!</v>
      </c>
    </row>
    <row r="13" spans="1:6" x14ac:dyDescent="0.25">
      <c r="A13" t="s">
        <v>8</v>
      </c>
      <c r="D13" t="str">
        <f>initials2(A13,A14)</f>
        <v>D. L.</v>
      </c>
    </row>
    <row r="14" spans="1:6" x14ac:dyDescent="0.25">
      <c r="A14" t="s">
        <v>10</v>
      </c>
    </row>
    <row r="15" spans="1:6" x14ac:dyDescent="0.25">
      <c r="A15" t="s">
        <v>11</v>
      </c>
      <c r="D15" t="str">
        <f>bezcisel(A15)</f>
        <v>abcd</v>
      </c>
      <c r="E15" t="str">
        <f>cisla_na_hvezdy(A15)</f>
        <v>**ab*c**d</v>
      </c>
      <c r="F15" t="str">
        <f>cislanahvezdyelegant(A15)</f>
        <v>**ab*c**d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7"/>
  <dimension ref="A1:K28"/>
  <sheetViews>
    <sheetView topLeftCell="A4" workbookViewId="0">
      <selection activeCell="H26" sqref="H26"/>
    </sheetView>
  </sheetViews>
  <sheetFormatPr defaultRowHeight="15" x14ac:dyDescent="0.25"/>
  <cols>
    <col min="3" max="3" width="48.5703125" bestFit="1" customWidth="1"/>
    <col min="5" max="5" width="20.28515625" bestFit="1" customWidth="1"/>
    <col min="8" max="8" width="54.85546875" bestFit="1" customWidth="1"/>
    <col min="10" max="10" width="12.140625" bestFit="1" customWidth="1"/>
    <col min="11" max="11" width="20.42578125" bestFit="1" customWidth="1"/>
  </cols>
  <sheetData>
    <row r="1" spans="1:11" x14ac:dyDescent="0.25">
      <c r="A1" t="s">
        <v>12</v>
      </c>
    </row>
    <row r="2" spans="1:11" x14ac:dyDescent="0.25">
      <c r="A2" t="s">
        <v>13</v>
      </c>
    </row>
    <row r="3" spans="1:11" x14ac:dyDescent="0.25">
      <c r="A3">
        <v>351</v>
      </c>
    </row>
    <row r="4" spans="1:11" x14ac:dyDescent="0.25">
      <c r="A4" t="s">
        <v>14</v>
      </c>
    </row>
    <row r="5" spans="1:11" x14ac:dyDescent="0.25">
      <c r="A5" t="s">
        <v>15</v>
      </c>
    </row>
    <row r="6" spans="1:11" x14ac:dyDescent="0.25">
      <c r="A6" t="s">
        <v>16</v>
      </c>
    </row>
    <row r="7" spans="1:11" x14ac:dyDescent="0.25">
      <c r="A7" t="s">
        <v>17</v>
      </c>
    </row>
    <row r="8" spans="1:11" x14ac:dyDescent="0.25">
      <c r="A8" t="s">
        <v>18</v>
      </c>
      <c r="H8" t="str">
        <f>Zavinac(C24)</f>
        <v>hans.huhner(zavinac)deutschebahn(zavinac)berliner(zavinac)hauptstadt.de</v>
      </c>
    </row>
    <row r="9" spans="1:11" x14ac:dyDescent="0.25">
      <c r="E9" t="str">
        <f>PrvniPosledni(E17)</f>
        <v>C*****P</v>
      </c>
      <c r="H9" t="str">
        <f>Zavinac(C21)</f>
        <v>daniel.lechovic(zavinac)qq</v>
      </c>
    </row>
    <row r="10" spans="1:11" x14ac:dyDescent="0.25">
      <c r="A10" t="s">
        <v>19</v>
      </c>
      <c r="H10" t="str">
        <f>Zavinac(H16)</f>
        <v>KoPiDlNoR</v>
      </c>
    </row>
    <row r="11" spans="1:11" x14ac:dyDescent="0.25">
      <c r="E11" t="s">
        <v>26</v>
      </c>
      <c r="F11" t="str">
        <f>PrvniPosledni(E11)</f>
        <v>D****L</v>
      </c>
    </row>
    <row r="12" spans="1:11" x14ac:dyDescent="0.25">
      <c r="E12" t="s">
        <v>27</v>
      </c>
      <c r="F12" t="str">
        <f>PrvniPosledni(E12)</f>
        <v>L******Č</v>
      </c>
      <c r="G12">
        <f>SpojeniHodnot(I21,I22)</f>
        <v>4</v>
      </c>
      <c r="J12" t="str">
        <f>JenVelka(H16)</f>
        <v xml:space="preserve">K; P; D; N; R; </v>
      </c>
    </row>
    <row r="13" spans="1:11" x14ac:dyDescent="0.25">
      <c r="H13" t="str">
        <f>Opacne(H16)</f>
        <v>ronldipok</v>
      </c>
    </row>
    <row r="14" spans="1:11" x14ac:dyDescent="0.25">
      <c r="H14" t="str">
        <f>PrvniPosledni(H13)</f>
        <v>R*******K</v>
      </c>
    </row>
    <row r="16" spans="1:11" x14ac:dyDescent="0.25">
      <c r="H16" t="s">
        <v>24</v>
      </c>
      <c r="K16">
        <f>SpojeniHodnot(I21,I22)</f>
        <v>4</v>
      </c>
    </row>
    <row r="17" spans="3:11" x14ac:dyDescent="0.25">
      <c r="C17" t="s">
        <v>25</v>
      </c>
      <c r="E17" t="str">
        <f>BezDiakritiky(C17)</f>
        <v>crzyaip</v>
      </c>
    </row>
    <row r="18" spans="3:11" x14ac:dyDescent="0.25">
      <c r="C18" t="s">
        <v>20</v>
      </c>
      <c r="E18" t="str">
        <f>BezDiakritiky(C18)</f>
        <v>escrzyaieRTSNC</v>
      </c>
      <c r="G18" t="str">
        <f>Opacne(G21)</f>
        <v>civohcel</v>
      </c>
      <c r="K18" t="str">
        <f>SpojeniHodnot(E21,G21)</f>
        <v>Daniellechovic</v>
      </c>
    </row>
    <row r="19" spans="3:11" x14ac:dyDescent="0.25">
      <c r="E19" t="str">
        <f>Opacne(E21)</f>
        <v>leinad</v>
      </c>
      <c r="H19" t="str">
        <f>Opacne(G21)</f>
        <v>civohcel</v>
      </c>
      <c r="K19">
        <f>SpojeniHodnot(I23,I22)</f>
        <v>5</v>
      </c>
    </row>
    <row r="21" spans="3:11" x14ac:dyDescent="0.25">
      <c r="C21" s="5" t="s">
        <v>22</v>
      </c>
      <c r="E21" t="str">
        <f>JmenoPredTeckou(C21)</f>
        <v>daniel</v>
      </c>
      <c r="G21" t="str">
        <f>JmenoZaTeckou(C21)</f>
        <v>lechovic</v>
      </c>
      <c r="I21">
        <f>KolikUrovni(C21)</f>
        <v>1</v>
      </c>
      <c r="K21" t="s">
        <v>30</v>
      </c>
    </row>
    <row r="22" spans="3:11" x14ac:dyDescent="0.25">
      <c r="C22" s="5" t="s">
        <v>23</v>
      </c>
      <c r="E22" t="str">
        <f t="shared" ref="E22:E24" si="0">JmenoPredTeckou(C22)</f>
        <v>lojda</v>
      </c>
      <c r="G22" t="str">
        <f t="shared" ref="G22:G24" si="1">JmenoZaTeckou(C22)</f>
        <v>dylina</v>
      </c>
      <c r="I22">
        <f t="shared" ref="I22:I24" si="2">KolikUrovni(C22)</f>
        <v>3</v>
      </c>
      <c r="K22" t="s">
        <v>29</v>
      </c>
    </row>
    <row r="23" spans="3:11" x14ac:dyDescent="0.25">
      <c r="C23" s="5" t="s">
        <v>21</v>
      </c>
      <c r="E23" t="str">
        <f t="shared" si="0"/>
        <v>ladislav</v>
      </c>
      <c r="G23" t="str">
        <f t="shared" si="1"/>
        <v>konipas</v>
      </c>
      <c r="I23">
        <f t="shared" si="2"/>
        <v>2</v>
      </c>
    </row>
    <row r="24" spans="3:11" x14ac:dyDescent="0.25">
      <c r="C24" s="5" t="s">
        <v>28</v>
      </c>
      <c r="E24" t="str">
        <f t="shared" si="0"/>
        <v>hans</v>
      </c>
      <c r="G24" t="str">
        <f t="shared" si="1"/>
        <v>huhner</v>
      </c>
      <c r="I24">
        <f t="shared" si="2"/>
        <v>2</v>
      </c>
      <c r="K24" t="str">
        <f>SpojeniHodnot(K21,K22)</f>
        <v>Da_ni_ellechovič</v>
      </c>
    </row>
    <row r="26" spans="3:11" x14ac:dyDescent="0.25">
      <c r="E26" t="e">
        <f>NahodneRozhazet(E21)</f>
        <v>#VALUE!</v>
      </c>
      <c r="H26" t="s">
        <v>31</v>
      </c>
    </row>
    <row r="28" spans="3:11" x14ac:dyDescent="0.25">
      <c r="C28">
        <v>162345</v>
      </c>
      <c r="E28">
        <f>zkouska(C28)</f>
        <v>6</v>
      </c>
    </row>
  </sheetData>
  <hyperlinks>
    <hyperlink ref="C21" r:id="rId1" xr:uid="{00000000-0004-0000-0600-000000000000}"/>
    <hyperlink ref="C22" r:id="rId2" xr:uid="{00000000-0004-0000-0600-000001000000}"/>
    <hyperlink ref="C23" r:id="rId3" xr:uid="{00000000-0004-0000-0600-000002000000}"/>
    <hyperlink ref="C24" r:id="rId4" xr:uid="{00000000-0004-0000-0600-000003000000}"/>
  </hyperlink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8"/>
  <dimension ref="A1:P50"/>
  <sheetViews>
    <sheetView tabSelected="1" topLeftCell="F19" zoomScale="96" zoomScaleNormal="96" workbookViewId="0">
      <selection activeCell="R39" sqref="R39"/>
    </sheetView>
  </sheetViews>
  <sheetFormatPr defaultRowHeight="15" x14ac:dyDescent="0.25"/>
  <cols>
    <col min="13" max="13" width="19.140625" customWidth="1"/>
  </cols>
  <sheetData>
    <row r="1" spans="1:13" x14ac:dyDescent="0.25">
      <c r="A1" t="s">
        <v>34</v>
      </c>
    </row>
    <row r="2" spans="1:13" x14ac:dyDescent="0.25">
      <c r="A2" t="s">
        <v>38</v>
      </c>
      <c r="B2" t="s">
        <v>32</v>
      </c>
      <c r="C2" t="s">
        <v>32</v>
      </c>
    </row>
    <row r="3" spans="1:13" x14ac:dyDescent="0.25">
      <c r="B3">
        <v>3</v>
      </c>
      <c r="C3">
        <v>3</v>
      </c>
    </row>
    <row r="4" spans="1:13" x14ac:dyDescent="0.25">
      <c r="B4">
        <v>4</v>
      </c>
      <c r="C4">
        <v>4</v>
      </c>
    </row>
    <row r="5" spans="1:13" x14ac:dyDescent="0.25">
      <c r="B5">
        <v>5</v>
      </c>
      <c r="C5">
        <v>5</v>
      </c>
    </row>
    <row r="7" spans="1:13" x14ac:dyDescent="0.25">
      <c r="D7" t="s">
        <v>32</v>
      </c>
      <c r="E7" t="s">
        <v>32</v>
      </c>
      <c r="F7" t="s">
        <v>32</v>
      </c>
      <c r="G7" t="s">
        <v>32</v>
      </c>
      <c r="H7" t="s">
        <v>34</v>
      </c>
      <c r="I7" s="3">
        <v>5</v>
      </c>
      <c r="J7" s="6">
        <v>6</v>
      </c>
    </row>
    <row r="8" spans="1:13" x14ac:dyDescent="0.25">
      <c r="D8" t="s">
        <v>32</v>
      </c>
      <c r="E8" t="s">
        <v>32</v>
      </c>
      <c r="F8" t="s">
        <v>32</v>
      </c>
      <c r="G8" t="s">
        <v>32</v>
      </c>
      <c r="H8" s="5" t="s">
        <v>35</v>
      </c>
      <c r="I8" s="5" t="s">
        <v>37</v>
      </c>
      <c r="J8" s="6" t="s">
        <v>38</v>
      </c>
    </row>
    <row r="9" spans="1:13" x14ac:dyDescent="0.25">
      <c r="D9" t="s">
        <v>32</v>
      </c>
      <c r="E9" t="s">
        <v>32</v>
      </c>
      <c r="F9" t="s">
        <v>32</v>
      </c>
      <c r="G9" t="s">
        <v>32</v>
      </c>
      <c r="H9" s="5" t="s">
        <v>35</v>
      </c>
      <c r="I9" s="3">
        <v>13</v>
      </c>
      <c r="J9" s="6">
        <v>14</v>
      </c>
    </row>
    <row r="10" spans="1:13" x14ac:dyDescent="0.25">
      <c r="D10" t="s">
        <v>32</v>
      </c>
      <c r="E10" t="s">
        <v>32</v>
      </c>
      <c r="F10" t="s">
        <v>32</v>
      </c>
      <c r="G10" t="s">
        <v>32</v>
      </c>
      <c r="H10" s="5" t="s">
        <v>36</v>
      </c>
      <c r="I10" s="3">
        <v>17</v>
      </c>
      <c r="J10" s="6">
        <v>18</v>
      </c>
    </row>
    <row r="11" spans="1:13" x14ac:dyDescent="0.25">
      <c r="D11" t="s">
        <v>32</v>
      </c>
      <c r="E11" t="s">
        <v>32</v>
      </c>
      <c r="F11" t="s">
        <v>32</v>
      </c>
    </row>
    <row r="12" spans="1:13" x14ac:dyDescent="0.25">
      <c r="D12" t="s">
        <v>32</v>
      </c>
      <c r="E12" t="s">
        <v>32</v>
      </c>
      <c r="F12" t="s">
        <v>32</v>
      </c>
      <c r="J12" s="3">
        <v>1</v>
      </c>
      <c r="K12" s="6">
        <v>2</v>
      </c>
      <c r="L12" s="3">
        <v>3</v>
      </c>
      <c r="M12" s="6">
        <v>4</v>
      </c>
    </row>
    <row r="13" spans="1:13" x14ac:dyDescent="0.25">
      <c r="D13" t="s">
        <v>32</v>
      </c>
      <c r="E13" t="s">
        <v>32</v>
      </c>
      <c r="F13" t="s">
        <v>32</v>
      </c>
      <c r="L13" s="3" t="s">
        <v>39</v>
      </c>
      <c r="M13" s="6">
        <v>8</v>
      </c>
    </row>
    <row r="14" spans="1:13" x14ac:dyDescent="0.25">
      <c r="D14" t="s">
        <v>32</v>
      </c>
      <c r="E14" t="s">
        <v>32</v>
      </c>
      <c r="F14" t="s">
        <v>32</v>
      </c>
      <c r="L14" s="3">
        <v>11</v>
      </c>
      <c r="M14" s="6">
        <v>12</v>
      </c>
    </row>
    <row r="15" spans="1:13" x14ac:dyDescent="0.25">
      <c r="D15" t="s">
        <v>32</v>
      </c>
      <c r="E15" t="s">
        <v>32</v>
      </c>
      <c r="G15" t="s">
        <v>32</v>
      </c>
      <c r="L15" s="3">
        <v>15</v>
      </c>
      <c r="M15" s="6">
        <v>16</v>
      </c>
    </row>
    <row r="16" spans="1:13" x14ac:dyDescent="0.25">
      <c r="D16" t="s">
        <v>32</v>
      </c>
      <c r="E16" t="s">
        <v>32</v>
      </c>
      <c r="F16" t="s">
        <v>32</v>
      </c>
      <c r="L16" s="3">
        <v>19</v>
      </c>
      <c r="M16" s="6">
        <v>20</v>
      </c>
    </row>
    <row r="17" spans="1:13" x14ac:dyDescent="0.25">
      <c r="J17" s="3">
        <v>21</v>
      </c>
      <c r="K17" s="6">
        <v>22</v>
      </c>
      <c r="L17" s="3">
        <v>23</v>
      </c>
      <c r="M17" s="6">
        <v>24</v>
      </c>
    </row>
    <row r="18" spans="1:13" x14ac:dyDescent="0.25">
      <c r="J18" s="3">
        <v>25</v>
      </c>
      <c r="K18" s="6">
        <v>26</v>
      </c>
      <c r="L18" s="3">
        <v>27</v>
      </c>
      <c r="M18" s="6" t="s">
        <v>39</v>
      </c>
    </row>
    <row r="19" spans="1:13" x14ac:dyDescent="0.25">
      <c r="J19" s="3">
        <v>29</v>
      </c>
      <c r="K19" s="6">
        <v>30</v>
      </c>
      <c r="L19" s="3">
        <v>31</v>
      </c>
      <c r="M19" s="6">
        <v>32</v>
      </c>
    </row>
    <row r="20" spans="1:13" x14ac:dyDescent="0.25">
      <c r="E20" s="7">
        <v>1</v>
      </c>
      <c r="F20" s="7">
        <v>1</v>
      </c>
      <c r="G20" s="7">
        <v>1</v>
      </c>
    </row>
    <row r="21" spans="1:13" x14ac:dyDescent="0.25">
      <c r="E21">
        <v>2</v>
      </c>
      <c r="F21" t="s">
        <v>40</v>
      </c>
      <c r="G21">
        <v>2</v>
      </c>
    </row>
    <row r="22" spans="1:13" x14ac:dyDescent="0.25">
      <c r="E22">
        <v>3</v>
      </c>
      <c r="F22">
        <v>5</v>
      </c>
      <c r="G22">
        <v>5</v>
      </c>
      <c r="K22" t="s">
        <v>39</v>
      </c>
    </row>
    <row r="23" spans="1:13" x14ac:dyDescent="0.25">
      <c r="E23">
        <v>5</v>
      </c>
    </row>
    <row r="25" spans="1:13" x14ac:dyDescent="0.25">
      <c r="F25" s="7">
        <v>1</v>
      </c>
      <c r="G25" s="3">
        <v>1</v>
      </c>
    </row>
    <row r="26" spans="1:13" x14ac:dyDescent="0.25">
      <c r="F26" s="3">
        <v>2</v>
      </c>
      <c r="G26" s="3">
        <v>2</v>
      </c>
    </row>
    <row r="27" spans="1:13" x14ac:dyDescent="0.25">
      <c r="F27" s="3">
        <v>3</v>
      </c>
      <c r="G27" s="3">
        <v>3</v>
      </c>
      <c r="H27" s="3"/>
      <c r="I27" s="3"/>
      <c r="J27" s="3"/>
      <c r="K27" s="3"/>
    </row>
    <row r="28" spans="1:13" x14ac:dyDescent="0.25">
      <c r="F28" s="7">
        <v>-9</v>
      </c>
      <c r="G28" s="3">
        <v>4</v>
      </c>
      <c r="H28" s="3"/>
      <c r="I28" s="3"/>
      <c r="J28" s="3"/>
      <c r="K28" s="3"/>
    </row>
    <row r="29" spans="1:13" x14ac:dyDescent="0.25">
      <c r="F29" s="3">
        <v>5</v>
      </c>
      <c r="G29" s="3">
        <v>5</v>
      </c>
      <c r="H29" s="3"/>
      <c r="I29" s="3"/>
      <c r="J29" s="3"/>
      <c r="K29" s="3"/>
    </row>
    <row r="30" spans="1:13" x14ac:dyDescent="0.25">
      <c r="F30" s="3">
        <v>6</v>
      </c>
      <c r="G30" s="3">
        <v>6</v>
      </c>
      <c r="H30" s="3">
        <v>3</v>
      </c>
      <c r="I30" s="3">
        <v>4</v>
      </c>
      <c r="J30" s="3"/>
      <c r="K30" s="3">
        <v>3</v>
      </c>
    </row>
    <row r="31" spans="1:13" x14ac:dyDescent="0.25">
      <c r="A31" s="3">
        <v>3</v>
      </c>
      <c r="B31" s="3">
        <v>1</v>
      </c>
      <c r="C31" s="7">
        <v>1</v>
      </c>
      <c r="D31" s="3">
        <v>1</v>
      </c>
      <c r="F31" s="6">
        <v>7</v>
      </c>
      <c r="G31" s="3">
        <v>7</v>
      </c>
      <c r="H31" s="3">
        <v>0</v>
      </c>
      <c r="I31" s="3">
        <v>5</v>
      </c>
      <c r="J31" s="3">
        <v>5</v>
      </c>
      <c r="K31" s="3">
        <v>20</v>
      </c>
      <c r="M31" t="str">
        <f>lol("564654dasdas dasdas")</f>
        <v>Dasdas_dasdas</v>
      </c>
    </row>
    <row r="32" spans="1:13" x14ac:dyDescent="0.25">
      <c r="A32" s="7">
        <v>-9</v>
      </c>
      <c r="B32" s="3">
        <v>2</v>
      </c>
      <c r="C32" s="3">
        <v>2</v>
      </c>
      <c r="D32" s="3">
        <v>2</v>
      </c>
      <c r="E32" s="3"/>
      <c r="F32" s="3"/>
      <c r="G32" s="3">
        <v>6</v>
      </c>
      <c r="H32" s="3">
        <v>6</v>
      </c>
      <c r="I32" s="3">
        <v>6</v>
      </c>
      <c r="J32" s="3">
        <v>24</v>
      </c>
    </row>
    <row r="33" spans="1:16" x14ac:dyDescent="0.25">
      <c r="A33" s="3">
        <v>5</v>
      </c>
      <c r="B33" s="3">
        <v>3</v>
      </c>
      <c r="C33" s="3">
        <v>3</v>
      </c>
      <c r="D33" s="3">
        <v>3</v>
      </c>
      <c r="F33">
        <v>18</v>
      </c>
      <c r="G33" s="3">
        <v>20</v>
      </c>
      <c r="H33" s="3">
        <v>8</v>
      </c>
      <c r="I33" s="3">
        <v>7</v>
      </c>
      <c r="J33" s="3"/>
    </row>
    <row r="34" spans="1:16" x14ac:dyDescent="0.25">
      <c r="A34" s="3">
        <v>6</v>
      </c>
      <c r="B34" s="3">
        <v>6</v>
      </c>
      <c r="C34" s="3">
        <v>6</v>
      </c>
      <c r="D34" s="3">
        <v>4</v>
      </c>
      <c r="H34" s="3"/>
      <c r="I34" s="3"/>
      <c r="J34" s="3"/>
      <c r="K34" s="3"/>
    </row>
    <row r="35" spans="1:16" x14ac:dyDescent="0.25">
      <c r="A35" s="6">
        <v>7</v>
      </c>
      <c r="B35" s="3">
        <v>7</v>
      </c>
      <c r="C35" s="6">
        <v>7</v>
      </c>
      <c r="D35" s="3">
        <v>5</v>
      </c>
      <c r="E35" t="s">
        <v>41</v>
      </c>
      <c r="G35">
        <v>13</v>
      </c>
      <c r="H35">
        <v>18</v>
      </c>
    </row>
    <row r="36" spans="1:16" x14ac:dyDescent="0.25">
      <c r="A36" s="3">
        <v>6</v>
      </c>
      <c r="B36" s="3">
        <v>6</v>
      </c>
    </row>
    <row r="37" spans="1:16" x14ac:dyDescent="0.25">
      <c r="D37" s="3"/>
    </row>
    <row r="38" spans="1:16" x14ac:dyDescent="0.25">
      <c r="L38" t="s">
        <v>47</v>
      </c>
      <c r="M38" t="s">
        <v>48</v>
      </c>
      <c r="N38" t="s">
        <v>49</v>
      </c>
      <c r="O38" t="s">
        <v>50</v>
      </c>
      <c r="P38" t="s">
        <v>51</v>
      </c>
    </row>
    <row r="39" spans="1:16" x14ac:dyDescent="0.25">
      <c r="K39" t="s">
        <v>42</v>
      </c>
      <c r="L39">
        <v>1</v>
      </c>
      <c r="M39">
        <v>3</v>
      </c>
      <c r="N39">
        <v>25</v>
      </c>
      <c r="O39">
        <v>6</v>
      </c>
      <c r="P39">
        <v>62</v>
      </c>
    </row>
    <row r="40" spans="1:16" x14ac:dyDescent="0.25">
      <c r="A40">
        <v>5</v>
      </c>
      <c r="B40">
        <v>2</v>
      </c>
      <c r="C40">
        <v>7</v>
      </c>
      <c r="D40">
        <v>4</v>
      </c>
      <c r="F40">
        <v>1</v>
      </c>
      <c r="G40">
        <v>3</v>
      </c>
      <c r="H40">
        <v>5</v>
      </c>
      <c r="I40">
        <v>6</v>
      </c>
      <c r="K40" t="s">
        <v>43</v>
      </c>
      <c r="L40">
        <v>50</v>
      </c>
      <c r="M40">
        <v>8</v>
      </c>
      <c r="N40">
        <v>9</v>
      </c>
      <c r="O40">
        <v>10</v>
      </c>
      <c r="P40">
        <v>3</v>
      </c>
    </row>
    <row r="41" spans="1:16" x14ac:dyDescent="0.25">
      <c r="A41">
        <v>9</v>
      </c>
      <c r="B41">
        <v>6</v>
      </c>
      <c r="C41">
        <v>11</v>
      </c>
      <c r="D41">
        <v>8</v>
      </c>
      <c r="F41">
        <v>7</v>
      </c>
      <c r="G41">
        <v>8</v>
      </c>
      <c r="H41">
        <v>9</v>
      </c>
      <c r="I41">
        <v>10</v>
      </c>
      <c r="K41" t="s">
        <v>44</v>
      </c>
      <c r="L41">
        <v>11</v>
      </c>
      <c r="M41">
        <v>13</v>
      </c>
      <c r="N41">
        <v>0</v>
      </c>
      <c r="O41">
        <v>7</v>
      </c>
      <c r="P41">
        <v>21</v>
      </c>
    </row>
    <row r="42" spans="1:16" x14ac:dyDescent="0.25">
      <c r="A42">
        <v>13</v>
      </c>
      <c r="B42">
        <v>10</v>
      </c>
      <c r="C42">
        <v>15</v>
      </c>
      <c r="D42">
        <v>16</v>
      </c>
      <c r="F42">
        <v>11</v>
      </c>
      <c r="G42">
        <v>13</v>
      </c>
      <c r="H42">
        <v>14</v>
      </c>
      <c r="I42">
        <v>16</v>
      </c>
      <c r="K42" t="s">
        <v>45</v>
      </c>
      <c r="L42">
        <v>62</v>
      </c>
      <c r="M42">
        <v>0</v>
      </c>
      <c r="N42">
        <v>77</v>
      </c>
      <c r="O42">
        <v>5</v>
      </c>
      <c r="P42">
        <v>20</v>
      </c>
    </row>
    <row r="43" spans="1:16" x14ac:dyDescent="0.25">
      <c r="F43">
        <v>18</v>
      </c>
      <c r="G43">
        <v>19</v>
      </c>
      <c r="H43">
        <v>20</v>
      </c>
      <c r="I43">
        <v>21</v>
      </c>
      <c r="K43" t="s">
        <v>46</v>
      </c>
      <c r="L43">
        <v>22</v>
      </c>
      <c r="M43">
        <v>55</v>
      </c>
      <c r="N43">
        <v>-2</v>
      </c>
      <c r="O43">
        <v>5</v>
      </c>
      <c r="P43">
        <v>27</v>
      </c>
    </row>
    <row r="44" spans="1:16" x14ac:dyDescent="0.25">
      <c r="F44">
        <v>22</v>
      </c>
      <c r="G44">
        <v>23</v>
      </c>
      <c r="H44">
        <v>24</v>
      </c>
    </row>
    <row r="45" spans="1:16" x14ac:dyDescent="0.25">
      <c r="K45" t="s">
        <v>45</v>
      </c>
      <c r="L45">
        <v>62</v>
      </c>
      <c r="M45">
        <v>0</v>
      </c>
      <c r="N45">
        <v>77</v>
      </c>
      <c r="O45">
        <v>5</v>
      </c>
      <c r="P45">
        <v>20</v>
      </c>
    </row>
    <row r="50" spans="1:1" x14ac:dyDescent="0.25">
      <c r="A50">
        <v>0</v>
      </c>
    </row>
  </sheetData>
  <hyperlinks>
    <hyperlink ref="H8" r:id="rId1" xr:uid="{00000000-0004-0000-0700-000000000000}"/>
    <hyperlink ref="H9" r:id="rId2" xr:uid="{00000000-0004-0000-0700-000001000000}"/>
    <hyperlink ref="H10" r:id="rId3" xr:uid="{00000000-0004-0000-0700-000002000000}"/>
    <hyperlink ref="I8" r:id="rId4" xr:uid="{00000000-0004-0000-0700-000003000000}"/>
  </hyperlinks>
  <pageMargins left="0.7" right="0.7" top="0.78740157499999996" bottom="0.78740157499999996" header="0.3" footer="0.3"/>
  <legacy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9"/>
  <dimension ref="B2:C7"/>
  <sheetViews>
    <sheetView workbookViewId="0">
      <selection activeCell="F39" sqref="F39"/>
    </sheetView>
  </sheetViews>
  <sheetFormatPr defaultRowHeight="15" x14ac:dyDescent="0.25"/>
  <sheetData>
    <row r="2" spans="2:3" x14ac:dyDescent="0.25">
      <c r="B2" t="s">
        <v>32</v>
      </c>
      <c r="C2" t="s">
        <v>32</v>
      </c>
    </row>
    <row r="3" spans="2:3" x14ac:dyDescent="0.25">
      <c r="B3" t="s">
        <v>32</v>
      </c>
      <c r="C3" t="s">
        <v>32</v>
      </c>
    </row>
    <row r="4" spans="2:3" x14ac:dyDescent="0.25">
      <c r="B4" t="s">
        <v>17</v>
      </c>
      <c r="C4">
        <v>2</v>
      </c>
    </row>
    <row r="5" spans="2:3" x14ac:dyDescent="0.25">
      <c r="B5" t="s">
        <v>19</v>
      </c>
      <c r="C5" t="s">
        <v>33</v>
      </c>
    </row>
    <row r="6" spans="2:3" x14ac:dyDescent="0.25">
      <c r="B6">
        <v>4</v>
      </c>
      <c r="C6">
        <v>4</v>
      </c>
    </row>
    <row r="7" spans="2:3" x14ac:dyDescent="0.25">
      <c r="B7">
        <v>5</v>
      </c>
      <c r="C7">
        <v>5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9</vt:i4>
      </vt:variant>
      <vt:variant>
        <vt:lpstr>Pojmenované oblasti</vt:lpstr>
      </vt:variant>
      <vt:variant>
        <vt:i4>1</vt:i4>
      </vt:variant>
    </vt:vector>
  </HeadingPairs>
  <TitlesOfParts>
    <vt:vector size="10" baseType="lpstr">
      <vt:lpstr>List1</vt:lpstr>
      <vt:lpstr>List2</vt:lpstr>
      <vt:lpstr>Data</vt:lpstr>
      <vt:lpstr>zbozi</vt:lpstr>
      <vt:lpstr>dalsi_list</vt:lpstr>
      <vt:lpstr>funkce</vt:lpstr>
      <vt:lpstr>List3</vt:lpstr>
      <vt:lpstr>oblasti</vt:lpstr>
      <vt:lpstr>oblasti2</vt:lpstr>
      <vt:lpstr>A9999999999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daniel.lechovic</dc:creator>
  <cp:lastModifiedBy>Erik Praunsperger</cp:lastModifiedBy>
  <dcterms:created xsi:type="dcterms:W3CDTF">2019-09-04T08:19:01Z</dcterms:created>
  <dcterms:modified xsi:type="dcterms:W3CDTF">2020-05-25T14:42:45Z</dcterms:modified>
</cp:coreProperties>
</file>